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pping list" sheetId="1" state="visible" r:id="rId3"/>
    <sheet name="St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<sst xmlns="http://schemas.openxmlformats.org/spreadsheetml/2006/main" count="297" uniqueCount="110">
  <si>
    <t xml:space="preserve">Bought?</t>
  </si>
  <si>
    <t xml:space="preserve">Store</t>
  </si>
  <si>
    <t xml:space="preserve">Needed</t>
  </si>
  <si>
    <t xml:space="preserve">Qty</t>
  </si>
  <si>
    <t xml:space="preserve">Item</t>
  </si>
  <si>
    <t xml:space="preserve">Link</t>
  </si>
  <si>
    <t xml:space="preserve">Unit price</t>
  </si>
  <si>
    <t xml:space="preserve">Line total</t>
  </si>
  <si>
    <t xml:space="preserve">Price is estimate</t>
  </si>
  <si>
    <t xml:space="preserve">Notes</t>
  </si>
  <si>
    <t xml:space="preserve">No</t>
  </si>
  <si>
    <t xml:space="preserve">Amazon</t>
  </si>
  <si>
    <t xml:space="preserve">Required</t>
  </si>
  <si>
    <t xml:space="preserve">Pump: Kamoer KPHM200, 12 V</t>
  </si>
  <si>
    <t xml:space="preserve">Prime, Oct 15</t>
  </si>
  <si>
    <t xml:space="preserve">Tubing: Auber 1/8" ID x 1/4" OD platinum silicone, 10 ft (exactly this size)</t>
  </si>
  <si>
    <t xml:space="preserve">Prime, Oct 14. Only 4 left</t>
  </si>
  <si>
    <t xml:space="preserve">Battery: KBT 12 V 2400 mAh, 70 x 55 x 40 mm, bare leads, with charger</t>
  </si>
  <si>
    <t xml:space="preserve">Prime, Oct 14. Pick the 2400 mAh bare-leads variant</t>
  </si>
  <si>
    <t xml:space="preserve">Microcontroller: Seeed XIAO RP2040, pre-soldered</t>
  </si>
  <si>
    <t xml:space="preserve">Prime, Oct 14</t>
  </si>
  <si>
    <t xml:space="preserve">Lever microswitch D2F-L, 4-pack</t>
  </si>
  <si>
    <t xml:space="preserve">LED strip: HAMRVL green COB, 12 V, 8 mm, 5 m</t>
  </si>
  <si>
    <t xml:space="preserve">Buck converter LM2596, 5-pack</t>
  </si>
  <si>
    <t xml:space="preserve">Magnets 6 x 2 mm, 45 pcs</t>
  </si>
  <si>
    <t xml:space="preserve">Vent valve: AQUANEAT aquarium check valve, 10 pcs (1 used)</t>
  </si>
  <si>
    <t xml:space="preserve">Prime, Oct 14. Or 1 from a pet store aquarium aisle. Its barb goes through its own ~5 mm hole in the jar lid</t>
  </si>
  <si>
    <t xml:space="preserve">Vetco</t>
  </si>
  <si>
    <t xml:space="preserve">A3144 Hall sensor</t>
  </si>
  <si>
    <t xml:space="preserve">74AHCT125 (must be AHCT)</t>
  </si>
  <si>
    <t xml:space="preserve">IRLZ44N MOSFET</t>
  </si>
  <si>
    <t xml:space="preserve">IRLB8721 also fine</t>
  </si>
  <si>
    <t xml:space="preserve">SPST mini toggle switch with leads (1/4" bushing)</t>
  </si>
  <si>
    <t xml:space="preserve">2.1 mm DC panel jack (8 mm hole)</t>
  </si>
  <si>
    <t xml:space="preserve">1N5819-type Schottky diode (NTE585)</t>
  </si>
  <si>
    <t xml:space="preserve">10 k resistor</t>
  </si>
  <si>
    <t xml:space="preserve">100 k resistor</t>
  </si>
  <si>
    <t xml:space="preserve">22 k resistor</t>
  </si>
  <si>
    <t xml:space="preserve">0.1 µF ceramic capacitor</t>
  </si>
  <si>
    <t xml:space="preserve">2200 µF 16 V capacitor</t>
  </si>
  <si>
    <t xml:space="preserve">5 x 7 cm protoboard</t>
  </si>
  <si>
    <t xml:space="preserve">Drill 4 x 3.2 mm holes on 40 x 30 mm</t>
  </si>
  <si>
    <t xml:space="preserve">14-pin IC socket</t>
  </si>
  <si>
    <t xml:space="preserve">22 AWG stranded wire</t>
  </si>
  <si>
    <t xml:space="preserve">1/8" heat-shrink, 4 ft</t>
  </si>
  <si>
    <t xml:space="preserve">Lock cable plug: JST PH 4-pin pair, pre-wired</t>
  </si>
  <si>
    <t xml:space="preserve">LED lead plug: JST SM 2-pin locking pair</t>
  </si>
  <si>
    <t xml:space="preserve">Tacoma Screw</t>
  </si>
  <si>
    <t xml:space="preserve">M3 x 6 socket head</t>
  </si>
  <si>
    <t xml:space="preserve">Yes</t>
  </si>
  <si>
    <t xml:space="preserve">Sold by the piece in store</t>
  </si>
  <si>
    <t xml:space="preserve">M3 x 8 socket head</t>
  </si>
  <si>
    <t xml:space="preserve">M3 x 8 flat head (countersunk)</t>
  </si>
  <si>
    <t xml:space="preserve">4 go under the lock plate; not in the Amazon kit</t>
  </si>
  <si>
    <t xml:space="preserve">M3 x 10 socket head</t>
  </si>
  <si>
    <t xml:space="preserve">M3 x 12 socket head</t>
  </si>
  <si>
    <t xml:space="preserve">M3 hex nut</t>
  </si>
  <si>
    <t xml:space="preserve">Ace Hardware</t>
  </si>
  <si>
    <t xml:space="preserve">Compression spring ~0.4-0.5 mm wire, 5 mm OD, ~10 mm long (cut longer ones)</t>
  </si>
  <si>
    <t xml:space="preserve">Hillman spring drawer; bring calipers. A pen spring works but is softer</t>
  </si>
  <si>
    <t xml:space="preserve">Local</t>
  </si>
  <si>
    <t xml:space="preserve">Jar, food-safe, drillable lid: max 73 mm across with lid, 76 mm tall</t>
  </si>
  <si>
    <t xml:space="preserve">Micro Homebrew, Kenmore, (425) 892-8425</t>
  </si>
  <si>
    <t xml:space="preserve">Curtain sheet: clear-frosted polypropylene divider or report cover, 0.3-0.5 mm</t>
  </si>
  <si>
    <t xml:space="preserve">Target, Fred Meyer, Office Depot. Must say polypropylene, not PVC/vinyl</t>
  </si>
  <si>
    <t xml:space="preserve">Shot glass 1.5 oz: max 52 mm across the top, 62 mm tall</t>
  </si>
  <si>
    <t xml:space="preserve">Bargreen Ellingson SoDo, Mon-Fri 10-3. Heavy base helps</t>
  </si>
  <si>
    <t xml:space="preserve">If needed</t>
  </si>
  <si>
    <t xml:space="preserve">Green PETG 1 kg (Creality); parts need ~1.2 kg</t>
  </si>
  <si>
    <t xml:space="preserve">Free delivery Oct 18</t>
  </si>
  <si>
    <t xml:space="preserve">White PETG 1 kg (Overture), diffusers ~30 g</t>
  </si>
  <si>
    <t xml:space="preserve">Soldering iron kit, 80 W LCD</t>
  </si>
  <si>
    <t xml:space="preserve">Multimeter, AstroAI 2000-count</t>
  </si>
  <si>
    <t xml:space="preserve">Digital calipers, Adoric 0-6"</t>
  </si>
  <si>
    <t xml:space="preserve">Drill bits, metric 1.5-10 mm, 15-piece cobalt (3.2, 5, 6 mm used)</t>
  </si>
  <si>
    <t xml:space="preserve">Flush cutters, KATA mini</t>
  </si>
  <si>
    <t xml:space="preserve">Hardware store</t>
  </si>
  <si>
    <t xml:space="preserve">Hook-and-loop straps 20 mm (2-3) and ~10 small zip ties</t>
  </si>
  <si>
    <t xml:space="preserve">Skip if you have them</t>
  </si>
  <si>
    <t xml:space="preserve">Totals (update automatically)</t>
  </si>
  <si>
    <t xml:space="preserve">Amazon, required</t>
  </si>
  <si>
    <t xml:space="preserve">Tacoma Screw (estimate)</t>
  </si>
  <si>
    <t xml:space="preserve">Ace and local (estimate)</t>
  </si>
  <si>
    <t xml:space="preserve">Total, required</t>
  </si>
  <si>
    <t xml:space="preserve">Optional filament and tools</t>
  </si>
  <si>
    <t xml:space="preserve">Still to buy (required, Bought? = No)</t>
  </si>
  <si>
    <t xml:space="preserve">Spent so far (Bought? = Yes)</t>
  </si>
  <si>
    <t xml:space="preserve">How to use: set Bought? to Yes as you go (the row greys out). Blue cells are inputs: edit Qty or Unit price and the totals follow. "Price is estimate" = Yes marks the store and local prices that are guesses.</t>
  </si>
  <si>
    <t xml:space="preserve">Where</t>
  </si>
  <si>
    <t xml:space="preserve">Phone</t>
  </si>
  <si>
    <t xml:space="preserve">Hours / notes</t>
  </si>
  <si>
    <t xml:space="preserve">amazon.com</t>
  </si>
  <si>
    <t xml:space="preserve">One order; prices and delivery dates read 2026-10-13</t>
  </si>
  <si>
    <t xml:space="preserve">12718 Northup Way STE 100, Bellevue</t>
  </si>
  <si>
    <t xml:space="preserve">(425) 641-7275</t>
  </si>
  <si>
    <t xml:space="preserve">Mon-Fri 9-6, Sat 10-3:30</t>
  </si>
  <si>
    <t xml:space="preserve">3930 Leary Way NW, Seattle (Ballard)</t>
  </si>
  <si>
    <t xml:space="preserve">(206) 632-7565</t>
  </si>
  <si>
    <t xml:space="preserve">Mon-Fri 7-5, Sat 9-1. Fallback: Amazon M3 kit B0HKFCTLK8 ($8.99) covers all but the 8 flat heads</t>
  </si>
  <si>
    <t xml:space="preserve">Magnolia, Maple Leaf, West Seattle Junction</t>
  </si>
  <si>
    <t xml:space="preserve">Hillman spring drawer</t>
  </si>
  <si>
    <t xml:space="preserve">Micro Homebrew (Kenmore), Target / Fred Meyer / Office Depot, Bargreen Ellingson (SoDo)</t>
  </si>
  <si>
    <t xml:space="preserve">Jar, curtain sheet, shot glass</t>
  </si>
  <si>
    <t xml:space="preserve">Already have</t>
  </si>
  <si>
    <t xml:space="preserve">•</t>
  </si>
  <si>
    <t xml:space="preserve">Super glue (Gorilla Glue)</t>
  </si>
  <si>
    <t xml:space="preserve">Silicone grease or petroleum jelly (lock)</t>
  </si>
  <si>
    <t xml:space="preserve">Hex keys 2 and 2.5 mm (long or ball-end 2.5)</t>
  </si>
  <si>
    <t xml:space="preserve">USB-C data cable</t>
  </si>
  <si>
    <t xml:space="preserve">Kitchen scale or measuring cup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</si>
</sst>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888888"/>
      </font>
      <fill>
        <patternFill>
          <bgColor rgb="FFE8F5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8F5E9"/>
      <rgbColor rgb="FFCCFFFF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5" min="5" style="0" width="62"/>
    <col collapsed="false" customWidth="true" hidden="false" outlineLevel="0" max="6" min="6" style="0" width="16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6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3" t="s">
        <v>12</v>
      </c>
      <c r="D2" s="2" t="n">
        <v>1</v>
      </c>
      <c r="E2" s="4" t="s">
        <v>13</v>
      </c>
      <c r="F2" s="5" t="str">
        <f aca="false">HYPERLINK("https://www.amazon.com/dp/B09HGVLHFV","open listing")</f>
        <v>open listing</v>
      </c>
      <c r="G2" s="6" t="n">
        <v>28</v>
      </c>
      <c r="H2" s="7" t="n">
        <f aca="false">D2*G2</f>
        <v>28</v>
      </c>
      <c r="I2" s="3" t="s">
        <v>10</v>
      </c>
      <c r="J2" s="4" t="s">
        <v>14</v>
      </c>
    </row>
    <row r="3" customFormat="false" ht="26.85" hidden="false" customHeight="false" outlineLevel="0" collapsed="false">
      <c r="A3" s="2" t="s">
        <v>10</v>
      </c>
      <c r="B3" s="3" t="s">
        <v>11</v>
      </c>
      <c r="C3" s="3" t="s">
        <v>12</v>
      </c>
      <c r="D3" s="2" t="n">
        <v>1</v>
      </c>
      <c r="E3" s="4" t="s">
        <v>15</v>
      </c>
      <c r="F3" s="5" t="str">
        <f aca="false">HYPERLINK("https://www.amazon.com/dp/B0DKB1NKB4","open listing")</f>
        <v>open listing</v>
      </c>
      <c r="G3" s="6" t="n">
        <v>13.99</v>
      </c>
      <c r="H3" s="7" t="n">
        <f aca="false">D3*G3</f>
        <v>13.99</v>
      </c>
      <c r="I3" s="3" t="s">
        <v>10</v>
      </c>
      <c r="J3" s="4" t="s">
        <v>16</v>
      </c>
    </row>
    <row r="4" customFormat="false" ht="26.85" hidden="false" customHeight="false" outlineLevel="0" collapsed="false">
      <c r="A4" s="2" t="s">
        <v>10</v>
      </c>
      <c r="B4" s="3" t="s">
        <v>11</v>
      </c>
      <c r="C4" s="3" t="s">
        <v>12</v>
      </c>
      <c r="D4" s="2" t="n">
        <v>1</v>
      </c>
      <c r="E4" s="4" t="s">
        <v>17</v>
      </c>
      <c r="F4" s="5" t="str">
        <f aca="false">HYPERLINK("https://www.amazon.com/dp/B0C241NS29","open listing")</f>
        <v>open listing</v>
      </c>
      <c r="G4" s="6" t="n">
        <v>21.99</v>
      </c>
      <c r="H4" s="7" t="n">
        <f aca="false">D4*G4</f>
        <v>21.99</v>
      </c>
      <c r="I4" s="3" t="s">
        <v>10</v>
      </c>
      <c r="J4" s="4" t="s">
        <v>18</v>
      </c>
    </row>
    <row r="5" customFormat="false" ht="15" hidden="false" customHeight="false" outlineLevel="0" collapsed="false">
      <c r="A5" s="2" t="s">
        <v>10</v>
      </c>
      <c r="B5" s="3" t="s">
        <v>11</v>
      </c>
      <c r="C5" s="3" t="s">
        <v>12</v>
      </c>
      <c r="D5" s="2" t="n">
        <v>1</v>
      </c>
      <c r="E5" s="4" t="s">
        <v>19</v>
      </c>
      <c r="F5" s="5" t="str">
        <f aca="false">HYPERLINK("https://www.amazon.com/dp/B0DRNTQ338","open listing")</f>
        <v>open listing</v>
      </c>
      <c r="G5" s="6" t="n">
        <v>10.99</v>
      </c>
      <c r="H5" s="7" t="n">
        <f aca="false">D5*G5</f>
        <v>10.99</v>
      </c>
      <c r="I5" s="3" t="s">
        <v>10</v>
      </c>
      <c r="J5" s="4" t="s">
        <v>20</v>
      </c>
    </row>
    <row r="6" customFormat="false" ht="15" hidden="false" customHeight="false" outlineLevel="0" collapsed="false">
      <c r="A6" s="2" t="s">
        <v>10</v>
      </c>
      <c r="B6" s="3" t="s">
        <v>11</v>
      </c>
      <c r="C6" s="3" t="s">
        <v>12</v>
      </c>
      <c r="D6" s="2" t="n">
        <v>1</v>
      </c>
      <c r="E6" s="4" t="s">
        <v>21</v>
      </c>
      <c r="F6" s="5" t="str">
        <f aca="false">HYPERLINK("https://www.amazon.com/dp/B0DBV8XGG4","open listing")</f>
        <v>open listing</v>
      </c>
      <c r="G6" s="6" t="n">
        <v>8.99</v>
      </c>
      <c r="H6" s="7" t="n">
        <f aca="false">D6*G6</f>
        <v>8.99</v>
      </c>
      <c r="I6" s="3" t="s">
        <v>10</v>
      </c>
      <c r="J6" s="4" t="s">
        <v>20</v>
      </c>
    </row>
    <row r="7" customFormat="false" ht="15" hidden="false" customHeight="false" outlineLevel="0" collapsed="false">
      <c r="A7" s="2" t="s">
        <v>10</v>
      </c>
      <c r="B7" s="3" t="s">
        <v>11</v>
      </c>
      <c r="C7" s="3" t="s">
        <v>12</v>
      </c>
      <c r="D7" s="2" t="n">
        <v>1</v>
      </c>
      <c r="E7" s="4" t="s">
        <v>22</v>
      </c>
      <c r="F7" s="5" t="str">
        <f aca="false">HYPERLINK("https://www.amazon.com/dp/B0CKYFLZFQ","open listing")</f>
        <v>open listing</v>
      </c>
      <c r="G7" s="6" t="n">
        <v>14.99</v>
      </c>
      <c r="H7" s="7" t="n">
        <f aca="false">D7*G7</f>
        <v>14.99</v>
      </c>
      <c r="I7" s="3" t="s">
        <v>10</v>
      </c>
      <c r="J7" s="4" t="s">
        <v>20</v>
      </c>
    </row>
    <row r="8" customFormat="false" ht="15" hidden="false" customHeight="false" outlineLevel="0" collapsed="false">
      <c r="A8" s="2" t="s">
        <v>10</v>
      </c>
      <c r="B8" s="3" t="s">
        <v>11</v>
      </c>
      <c r="C8" s="3" t="s">
        <v>12</v>
      </c>
      <c r="D8" s="2" t="n">
        <v>1</v>
      </c>
      <c r="E8" s="4" t="s">
        <v>23</v>
      </c>
      <c r="F8" s="5" t="str">
        <f aca="false">HYPERLINK("https://www.amazon.com/dp/B0DBVYP91F","open listing")</f>
        <v>open listing</v>
      </c>
      <c r="G8" s="6" t="n">
        <v>7.99</v>
      </c>
      <c r="H8" s="7" t="n">
        <f aca="false">D8*G8</f>
        <v>7.99</v>
      </c>
      <c r="I8" s="3" t="s">
        <v>10</v>
      </c>
      <c r="J8" s="4" t="s">
        <v>20</v>
      </c>
    </row>
    <row r="9" customFormat="false" ht="15" hidden="false" customHeight="false" outlineLevel="0" collapsed="false">
      <c r="A9" s="2" t="s">
        <v>10</v>
      </c>
      <c r="B9" s="3" t="s">
        <v>11</v>
      </c>
      <c r="C9" s="3" t="s">
        <v>12</v>
      </c>
      <c r="D9" s="2" t="n">
        <v>1</v>
      </c>
      <c r="E9" s="4" t="s">
        <v>24</v>
      </c>
      <c r="F9" s="5" t="str">
        <f aca="false">HYPERLINK("https://www.amazon.com/dp/B0CBRVF4PN","open listing")</f>
        <v>open listing</v>
      </c>
      <c r="G9" s="6" t="n">
        <v>6.29</v>
      </c>
      <c r="H9" s="7" t="n">
        <f aca="false">D9*G9</f>
        <v>6.29</v>
      </c>
      <c r="I9" s="3" t="s">
        <v>10</v>
      </c>
      <c r="J9" s="4" t="s">
        <v>20</v>
      </c>
    </row>
    <row r="10" customFormat="false" ht="26.85" hidden="false" customHeight="false" outlineLevel="0" collapsed="false">
      <c r="A10" s="2" t="s">
        <v>10</v>
      </c>
      <c r="B10" s="3" t="s">
        <v>11</v>
      </c>
      <c r="C10" s="3" t="s">
        <v>12</v>
      </c>
      <c r="D10" s="2" t="n">
        <v>1</v>
      </c>
      <c r="E10" s="4" t="s">
        <v>25</v>
      </c>
      <c r="F10" s="5" t="str">
        <f aca="false">HYPERLINK("https://www.amazon.com/dp/B086JRH4WS","open listing")</f>
        <v>open listing</v>
      </c>
      <c r="G10" s="6" t="n">
        <v>4.79</v>
      </c>
      <c r="H10" s="7" t="n">
        <f aca="false">D10*G10</f>
        <v>4.79</v>
      </c>
      <c r="I10" s="3" t="s">
        <v>10</v>
      </c>
      <c r="J10" s="4" t="s">
        <v>26</v>
      </c>
    </row>
    <row r="11" customFormat="false" ht="15" hidden="false" customHeight="false" outlineLevel="0" collapsed="false">
      <c r="A11" s="2" t="s">
        <v>10</v>
      </c>
      <c r="B11" s="3" t="s">
        <v>27</v>
      </c>
      <c r="C11" s="3" t="s">
        <v>12</v>
      </c>
      <c r="D11" s="2" t="n">
        <v>1</v>
      </c>
      <c r="E11" s="4" t="s">
        <v>28</v>
      </c>
      <c r="F11" s="5" t="str">
        <f aca="false">HYPERLINK("https://vetco.net/products/vupn6596_hall-effect_sensor_-_allegro_a3144eua_d63","open listing")</f>
        <v>open listing</v>
      </c>
      <c r="G11" s="6" t="n">
        <v>1.99</v>
      </c>
      <c r="H11" s="7" t="n">
        <f aca="false">D11*G11</f>
        <v>1.99</v>
      </c>
      <c r="I11" s="3" t="s">
        <v>10</v>
      </c>
      <c r="J11" s="4"/>
    </row>
    <row r="12" customFormat="false" ht="15" hidden="false" customHeight="false" outlineLevel="0" collapsed="false">
      <c r="A12" s="2" t="s">
        <v>10</v>
      </c>
      <c r="B12" s="3" t="s">
        <v>27</v>
      </c>
      <c r="C12" s="3" t="s">
        <v>12</v>
      </c>
      <c r="D12" s="2" t="n">
        <v>1</v>
      </c>
      <c r="E12" s="4" t="s">
        <v>29</v>
      </c>
      <c r="F12" s="5" t="str">
        <f aca="false">HYPERLINK("https://vetco.net/products/vupn524_quad_level-shifter_-_74ahct125_-_3v_to_5v_d96","open listing")</f>
        <v>open listing</v>
      </c>
      <c r="G12" s="6" t="n">
        <v>2.95</v>
      </c>
      <c r="H12" s="7" t="n">
        <f aca="false">D12*G12</f>
        <v>2.95</v>
      </c>
      <c r="I12" s="3" t="s">
        <v>10</v>
      </c>
      <c r="J12" s="4"/>
    </row>
    <row r="13" customFormat="false" ht="15" hidden="false" customHeight="false" outlineLevel="0" collapsed="false">
      <c r="A13" s="2" t="s">
        <v>10</v>
      </c>
      <c r="B13" s="3" t="s">
        <v>27</v>
      </c>
      <c r="C13" s="3" t="s">
        <v>12</v>
      </c>
      <c r="D13" s="2" t="n">
        <v>2</v>
      </c>
      <c r="E13" s="4" t="s">
        <v>30</v>
      </c>
      <c r="F13" s="5" t="str">
        <f aca="false">HYPERLINK("https://vetco.net/products/vupn1682_mosfet_mosft_for_micro_controllers_-_30v_-_60a_-_irlb8721pbf_d151","open listing")</f>
        <v>open listing</v>
      </c>
      <c r="G13" s="6" t="n">
        <v>2.67</v>
      </c>
      <c r="H13" s="7" t="n">
        <f aca="false">D13*G13</f>
        <v>5.34</v>
      </c>
      <c r="I13" s="3" t="s">
        <v>10</v>
      </c>
      <c r="J13" s="4" t="s">
        <v>31</v>
      </c>
    </row>
    <row r="14" customFormat="false" ht="15" hidden="false" customHeight="false" outlineLevel="0" collapsed="false">
      <c r="A14" s="2" t="s">
        <v>10</v>
      </c>
      <c r="B14" s="3" t="s">
        <v>27</v>
      </c>
      <c r="C14" s="3" t="s">
        <v>12</v>
      </c>
      <c r="D14" s="2" t="n">
        <v>1</v>
      </c>
      <c r="E14" s="4" t="s">
        <v>32</v>
      </c>
      <c r="F14" s="5" t="str">
        <f aca="false">HYPERLINK("https://vetco.net/products/30-10005_spst_miniature_toggle_switch_w-wire_leads_on-off_6a","open listing")</f>
        <v>open listing</v>
      </c>
      <c r="G14" s="6" t="n">
        <v>4.95</v>
      </c>
      <c r="H14" s="7" t="n">
        <f aca="false">D14*G14</f>
        <v>4.95</v>
      </c>
      <c r="I14" s="3" t="s">
        <v>10</v>
      </c>
      <c r="J14" s="4"/>
    </row>
    <row r="15" customFormat="false" ht="15" hidden="false" customHeight="false" outlineLevel="0" collapsed="false">
      <c r="A15" s="2" t="s">
        <v>10</v>
      </c>
      <c r="B15" s="3" t="s">
        <v>27</v>
      </c>
      <c r="C15" s="3" t="s">
        <v>12</v>
      </c>
      <c r="D15" s="2" t="n">
        <v>1</v>
      </c>
      <c r="E15" s="4" t="s">
        <v>33</v>
      </c>
      <c r="F15" s="5" t="str">
        <f aca="false">HYPERLINK("https://vetco.net/products/2112_2-1mm_dc_power_panel_mount_jack","open listing")</f>
        <v>open listing</v>
      </c>
      <c r="G15" s="6" t="n">
        <v>2.88</v>
      </c>
      <c r="H15" s="7" t="n">
        <f aca="false">D15*G15</f>
        <v>2.88</v>
      </c>
      <c r="I15" s="3" t="s">
        <v>10</v>
      </c>
      <c r="J15" s="4"/>
    </row>
    <row r="16" customFormat="false" ht="15" hidden="false" customHeight="false" outlineLevel="0" collapsed="false">
      <c r="A16" s="2" t="s">
        <v>10</v>
      </c>
      <c r="B16" s="3" t="s">
        <v>27</v>
      </c>
      <c r="C16" s="3" t="s">
        <v>12</v>
      </c>
      <c r="D16" s="2" t="n">
        <v>3</v>
      </c>
      <c r="E16" s="4" t="s">
        <v>34</v>
      </c>
      <c r="F16" s="5" t="str">
        <f aca="false">HYPERLINK("https://vetco.net/products/nte585_40_volt_1a_schottky_rectifier_do41_-_nte585","open listing")</f>
        <v>open listing</v>
      </c>
      <c r="G16" s="6" t="n">
        <v>0.94</v>
      </c>
      <c r="H16" s="7" t="n">
        <f aca="false">D16*G16</f>
        <v>2.82</v>
      </c>
      <c r="I16" s="3" t="s">
        <v>10</v>
      </c>
      <c r="J16" s="4"/>
    </row>
    <row r="17" customFormat="false" ht="15" hidden="false" customHeight="false" outlineLevel="0" collapsed="false">
      <c r="A17" s="2" t="s">
        <v>10</v>
      </c>
      <c r="B17" s="3" t="s">
        <v>27</v>
      </c>
      <c r="C17" s="3" t="s">
        <v>12</v>
      </c>
      <c r="D17" s="2" t="n">
        <v>2</v>
      </c>
      <c r="E17" s="4" t="s">
        <v>35</v>
      </c>
      <c r="F17" s="5" t="str">
        <f aca="false">HYPERLINK("https://vetco.net/products/nte-qw310_10k_ohm_1-4_watt_resistor","open listing")</f>
        <v>open listing</v>
      </c>
      <c r="G17" s="6" t="n">
        <v>0.29</v>
      </c>
      <c r="H17" s="7" t="n">
        <f aca="false">D17*G17</f>
        <v>0.58</v>
      </c>
      <c r="I17" s="3" t="s">
        <v>10</v>
      </c>
      <c r="J17" s="4"/>
    </row>
    <row r="18" customFormat="false" ht="15" hidden="false" customHeight="false" outlineLevel="0" collapsed="false">
      <c r="A18" s="2" t="s">
        <v>10</v>
      </c>
      <c r="B18" s="3" t="s">
        <v>27</v>
      </c>
      <c r="C18" s="3" t="s">
        <v>12</v>
      </c>
      <c r="D18" s="2" t="n">
        <v>1</v>
      </c>
      <c r="E18" s="4" t="s">
        <v>36</v>
      </c>
      <c r="F18" s="5" t="str">
        <f aca="false">HYPERLINK("https://vetco.net/products/nte-qw410_100k_ohm_1-4_watt_resistor","open listing")</f>
        <v>open listing</v>
      </c>
      <c r="G18" s="6" t="n">
        <v>0.29</v>
      </c>
      <c r="H18" s="7" t="n">
        <f aca="false">D18*G18</f>
        <v>0.29</v>
      </c>
      <c r="I18" s="3" t="s">
        <v>10</v>
      </c>
      <c r="J18" s="4"/>
    </row>
    <row r="19" customFormat="false" ht="15" hidden="false" customHeight="false" outlineLevel="0" collapsed="false">
      <c r="A19" s="2" t="s">
        <v>10</v>
      </c>
      <c r="B19" s="3" t="s">
        <v>27</v>
      </c>
      <c r="C19" s="3" t="s">
        <v>12</v>
      </c>
      <c r="D19" s="2" t="n">
        <v>1</v>
      </c>
      <c r="E19" s="4" t="s">
        <v>37</v>
      </c>
      <c r="F19" s="5" t="str">
        <f aca="false">HYPERLINK("https://vetco.net/products/nte-qw322_22k_ohm_1-4_watt_resistor","open listing")</f>
        <v>open listing</v>
      </c>
      <c r="G19" s="6" t="n">
        <v>0.29</v>
      </c>
      <c r="H19" s="7" t="n">
        <f aca="false">D19*G19</f>
        <v>0.29</v>
      </c>
      <c r="I19" s="3" t="s">
        <v>10</v>
      </c>
      <c r="J19" s="4"/>
    </row>
    <row r="20" customFormat="false" ht="15" hidden="false" customHeight="false" outlineLevel="0" collapsed="false">
      <c r="A20" s="2" t="s">
        <v>10</v>
      </c>
      <c r="B20" s="3" t="s">
        <v>27</v>
      </c>
      <c r="C20" s="3" t="s">
        <v>12</v>
      </c>
      <c r="D20" s="2" t="n">
        <v>2</v>
      </c>
      <c r="E20" s="4" t="s">
        <v>38</v>
      </c>
      <c r="F20" s="5" t="str">
        <f aca="false">HYPERLINK("https://vetco.net/products/vupn6606_ceramic_capacitor_0-1_uf_-2080_50_volts_z5u","open listing")</f>
        <v>open listing</v>
      </c>
      <c r="G20" s="6" t="n">
        <v>0.25</v>
      </c>
      <c r="H20" s="7" t="n">
        <f aca="false">D20*G20</f>
        <v>0.5</v>
      </c>
      <c r="I20" s="3" t="s">
        <v>10</v>
      </c>
      <c r="J20" s="4"/>
    </row>
    <row r="21" customFormat="false" ht="15" hidden="false" customHeight="false" outlineLevel="0" collapsed="false">
      <c r="A21" s="2" t="s">
        <v>10</v>
      </c>
      <c r="B21" s="3" t="s">
        <v>27</v>
      </c>
      <c r="C21" s="3" t="s">
        <v>12</v>
      </c>
      <c r="D21" s="2" t="n">
        <v>1</v>
      </c>
      <c r="E21" s="4" t="s">
        <v>39</v>
      </c>
      <c r="F21" s="5" t="str">
        <f aca="false">HYPERLINK("https://vetco.net/products/2200uf16vdc_2200uf_16_volt_electrolytic_capacitor","open listing")</f>
        <v>open listing</v>
      </c>
      <c r="G21" s="6" t="n">
        <v>2.8</v>
      </c>
      <c r="H21" s="7" t="n">
        <f aca="false">D21*G21</f>
        <v>2.8</v>
      </c>
      <c r="I21" s="3" t="s">
        <v>10</v>
      </c>
      <c r="J21" s="4"/>
    </row>
    <row r="22" customFormat="false" ht="15" hidden="false" customHeight="false" outlineLevel="0" collapsed="false">
      <c r="A22" s="2" t="s">
        <v>10</v>
      </c>
      <c r="B22" s="3" t="s">
        <v>27</v>
      </c>
      <c r="C22" s="3" t="s">
        <v>12</v>
      </c>
      <c r="D22" s="2" t="n">
        <v>1</v>
      </c>
      <c r="E22" s="4" t="s">
        <v>40</v>
      </c>
      <c r="F22" s="5" t="str">
        <f aca="false">HYPERLINK("https://vetco.net/products/phenolic-protoboard-1-97-x-2-76-inch","open listing")</f>
        <v>open listing</v>
      </c>
      <c r="G22" s="6" t="n">
        <v>3.49</v>
      </c>
      <c r="H22" s="7" t="n">
        <f aca="false">D22*G22</f>
        <v>3.49</v>
      </c>
      <c r="I22" s="3" t="s">
        <v>10</v>
      </c>
      <c r="J22" s="4" t="s">
        <v>41</v>
      </c>
    </row>
    <row r="23" customFormat="false" ht="15" hidden="false" customHeight="false" outlineLevel="0" collapsed="false">
      <c r="A23" s="2" t="s">
        <v>10</v>
      </c>
      <c r="B23" s="3" t="s">
        <v>27</v>
      </c>
      <c r="C23" s="3" t="s">
        <v>12</v>
      </c>
      <c r="D23" s="2" t="n">
        <v>1</v>
      </c>
      <c r="E23" s="4" t="s">
        <v>42</v>
      </c>
      <c r="F23" s="5" t="str">
        <f aca="false">HYPERLINK("https://vetco.net/products/14-pin-ic-socket-2-54mm-spacing-0-1","open listing")</f>
        <v>open listing</v>
      </c>
      <c r="G23" s="6" t="n">
        <v>1.95</v>
      </c>
      <c r="H23" s="7" t="n">
        <f aca="false">D23*G23</f>
        <v>1.95</v>
      </c>
      <c r="I23" s="3" t="s">
        <v>10</v>
      </c>
      <c r="J23" s="4"/>
    </row>
    <row r="24" customFormat="false" ht="15" hidden="false" customHeight="false" outlineLevel="0" collapsed="false">
      <c r="A24" s="2" t="s">
        <v>10</v>
      </c>
      <c r="B24" s="3" t="s">
        <v>27</v>
      </c>
      <c r="C24" s="3" t="s">
        <v>12</v>
      </c>
      <c r="D24" s="2" t="n">
        <v>1</v>
      </c>
      <c r="E24" s="4" t="s">
        <v>43</v>
      </c>
      <c r="F24" s="5" t="str">
        <f aca="false">HYPERLINK("https://vetco.net/products/hookup_wire_stranded_22_ga","open listing")</f>
        <v>open listing</v>
      </c>
      <c r="G24" s="6" t="n">
        <v>5.37</v>
      </c>
      <c r="H24" s="7" t="n">
        <f aca="false">D24*G24</f>
        <v>5.37</v>
      </c>
      <c r="I24" s="3" t="s">
        <v>10</v>
      </c>
      <c r="J24" s="4"/>
    </row>
    <row r="25" customFormat="false" ht="15" hidden="false" customHeight="false" outlineLevel="0" collapsed="false">
      <c r="A25" s="2" t="s">
        <v>10</v>
      </c>
      <c r="B25" s="3" t="s">
        <v>27</v>
      </c>
      <c r="C25" s="3" t="s">
        <v>12</v>
      </c>
      <c r="D25" s="2" t="n">
        <v>1</v>
      </c>
      <c r="E25" s="4" t="s">
        <v>44</v>
      </c>
      <c r="F25" s="5" t="str">
        <f aca="false">HYPERLINK("https://vetco.net/products/1-8_heat_shrink_tubing_4_long","open listing")</f>
        <v>open listing</v>
      </c>
      <c r="G25" s="6" t="n">
        <v>1.69</v>
      </c>
      <c r="H25" s="7" t="n">
        <f aca="false">D25*G25</f>
        <v>1.69</v>
      </c>
      <c r="I25" s="3" t="s">
        <v>10</v>
      </c>
      <c r="J25" s="4"/>
    </row>
    <row r="26" customFormat="false" ht="15" hidden="false" customHeight="false" outlineLevel="0" collapsed="false">
      <c r="A26" s="2" t="s">
        <v>10</v>
      </c>
      <c r="B26" s="3" t="s">
        <v>27</v>
      </c>
      <c r="C26" s="3" t="s">
        <v>12</v>
      </c>
      <c r="D26" s="2" t="n">
        <v>1</v>
      </c>
      <c r="E26" s="4" t="s">
        <v>45</v>
      </c>
      <c r="F26" s="5" t="str">
        <f aca="false">HYPERLINK("https://vetco.net/products/jst-ph-2-0-4-pin-connector-male-female-pair-pre-wired","open listing")</f>
        <v>open listing</v>
      </c>
      <c r="G26" s="6" t="n">
        <v>2.24</v>
      </c>
      <c r="H26" s="7" t="n">
        <f aca="false">D26*G26</f>
        <v>2.24</v>
      </c>
      <c r="I26" s="3" t="s">
        <v>10</v>
      </c>
      <c r="J26" s="4"/>
    </row>
    <row r="27" customFormat="false" ht="15" hidden="false" customHeight="false" outlineLevel="0" collapsed="false">
      <c r="A27" s="2" t="s">
        <v>10</v>
      </c>
      <c r="B27" s="3" t="s">
        <v>27</v>
      </c>
      <c r="C27" s="3" t="s">
        <v>12</v>
      </c>
      <c r="D27" s="2" t="n">
        <v>1</v>
      </c>
      <c r="E27" s="4" t="s">
        <v>46</v>
      </c>
      <c r="F27" s="5" t="str">
        <f aca="false">HYPERLINK("https://vetco.net/products/vupn1054_jst_sm_2_pin_m-f_pair_locking_connector","open listing")</f>
        <v>open listing</v>
      </c>
      <c r="G27" s="6" t="n">
        <v>1.75</v>
      </c>
      <c r="H27" s="7" t="n">
        <f aca="false">D27*G27</f>
        <v>1.75</v>
      </c>
      <c r="I27" s="3" t="s">
        <v>10</v>
      </c>
      <c r="J27" s="4"/>
    </row>
    <row r="28" customFormat="false" ht="15" hidden="false" customHeight="false" outlineLevel="0" collapsed="false">
      <c r="A28" s="2" t="s">
        <v>10</v>
      </c>
      <c r="B28" s="3" t="s">
        <v>47</v>
      </c>
      <c r="C28" s="3" t="s">
        <v>12</v>
      </c>
      <c r="D28" s="2" t="n">
        <v>4</v>
      </c>
      <c r="E28" s="4" t="s">
        <v>48</v>
      </c>
      <c r="F28" s="5" t="str">
        <f aca="false">HYPERLINK("https://www.tacomascrew.com/Product/223-306-3","open listing")</f>
        <v>open listing</v>
      </c>
      <c r="G28" s="6" t="n">
        <v>0.2</v>
      </c>
      <c r="H28" s="7" t="n">
        <f aca="false">D28*G28</f>
        <v>0.8</v>
      </c>
      <c r="I28" s="3" t="s">
        <v>49</v>
      </c>
      <c r="J28" s="4" t="s">
        <v>50</v>
      </c>
    </row>
    <row r="29" customFormat="false" ht="15" hidden="false" customHeight="false" outlineLevel="0" collapsed="false">
      <c r="A29" s="2" t="s">
        <v>10</v>
      </c>
      <c r="B29" s="3" t="s">
        <v>47</v>
      </c>
      <c r="C29" s="3" t="s">
        <v>12</v>
      </c>
      <c r="D29" s="2" t="n">
        <v>17</v>
      </c>
      <c r="E29" s="4" t="s">
        <v>51</v>
      </c>
      <c r="F29" s="5" t="str">
        <f aca="false">HYPERLINK("https://www.tacomascrew.com/Product/223-308-3","open listing")</f>
        <v>open listing</v>
      </c>
      <c r="G29" s="6" t="n">
        <v>0.2</v>
      </c>
      <c r="H29" s="7" t="n">
        <f aca="false">D29*G29</f>
        <v>3.4</v>
      </c>
      <c r="I29" s="3" t="s">
        <v>49</v>
      </c>
      <c r="J29" s="4"/>
    </row>
    <row r="30" customFormat="false" ht="15" hidden="false" customHeight="false" outlineLevel="0" collapsed="false">
      <c r="A30" s="2" t="s">
        <v>10</v>
      </c>
      <c r="B30" s="3" t="s">
        <v>47</v>
      </c>
      <c r="C30" s="3" t="s">
        <v>12</v>
      </c>
      <c r="D30" s="2" t="n">
        <v>8</v>
      </c>
      <c r="E30" s="4" t="s">
        <v>52</v>
      </c>
      <c r="F30" s="5" t="str">
        <f aca="false">HYPERLINK("https://www.tacomascrew.com/Product/224-308-4","open listing")</f>
        <v>open listing</v>
      </c>
      <c r="G30" s="6" t="n">
        <v>0.2</v>
      </c>
      <c r="H30" s="7" t="n">
        <f aca="false">D30*G30</f>
        <v>1.6</v>
      </c>
      <c r="I30" s="3" t="s">
        <v>49</v>
      </c>
      <c r="J30" s="4" t="s">
        <v>53</v>
      </c>
    </row>
    <row r="31" customFormat="false" ht="15" hidden="false" customHeight="false" outlineLevel="0" collapsed="false">
      <c r="A31" s="2" t="s">
        <v>10</v>
      </c>
      <c r="B31" s="3" t="s">
        <v>47</v>
      </c>
      <c r="C31" s="3" t="s">
        <v>12</v>
      </c>
      <c r="D31" s="2" t="n">
        <v>6</v>
      </c>
      <c r="E31" s="4" t="s">
        <v>54</v>
      </c>
      <c r="F31" s="5" t="str">
        <f aca="false">HYPERLINK("https://www.tacomascrew.com/Product/223-310-3","open listing")</f>
        <v>open listing</v>
      </c>
      <c r="G31" s="6" t="n">
        <v>0.2</v>
      </c>
      <c r="H31" s="7" t="n">
        <f aca="false">D31*G31</f>
        <v>1.2</v>
      </c>
      <c r="I31" s="3" t="s">
        <v>49</v>
      </c>
      <c r="J31" s="4"/>
    </row>
    <row r="32" customFormat="false" ht="15" hidden="false" customHeight="false" outlineLevel="0" collapsed="false">
      <c r="A32" s="2" t="s">
        <v>10</v>
      </c>
      <c r="B32" s="3" t="s">
        <v>47</v>
      </c>
      <c r="C32" s="3" t="s">
        <v>12</v>
      </c>
      <c r="D32" s="2" t="n">
        <v>11</v>
      </c>
      <c r="E32" s="4" t="s">
        <v>55</v>
      </c>
      <c r="F32" s="5" t="str">
        <f aca="false">HYPERLINK("https://www.tacomascrew.com/Product/223-312-3","open listing")</f>
        <v>open listing</v>
      </c>
      <c r="G32" s="6" t="n">
        <v>0.2</v>
      </c>
      <c r="H32" s="7" t="n">
        <f aca="false">D32*G32</f>
        <v>2.2</v>
      </c>
      <c r="I32" s="3" t="s">
        <v>49</v>
      </c>
      <c r="J32" s="4"/>
    </row>
    <row r="33" customFormat="false" ht="15" hidden="false" customHeight="false" outlineLevel="0" collapsed="false">
      <c r="A33" s="2" t="s">
        <v>10</v>
      </c>
      <c r="B33" s="3" t="s">
        <v>47</v>
      </c>
      <c r="C33" s="3" t="s">
        <v>12</v>
      </c>
      <c r="D33" s="2" t="n">
        <v>14</v>
      </c>
      <c r="E33" s="4" t="s">
        <v>56</v>
      </c>
      <c r="F33" s="5" t="str">
        <f aca="false">HYPERLINK("https://www.tacomascrew.com/Product/231-003-1","open listing")</f>
        <v>open listing</v>
      </c>
      <c r="G33" s="6" t="n">
        <v>0.2</v>
      </c>
      <c r="H33" s="7" t="n">
        <f aca="false">D33*G33</f>
        <v>2.8</v>
      </c>
      <c r="I33" s="3" t="s">
        <v>49</v>
      </c>
      <c r="J33" s="4"/>
    </row>
    <row r="34" customFormat="false" ht="26.85" hidden="false" customHeight="false" outlineLevel="0" collapsed="false">
      <c r="A34" s="2" t="s">
        <v>10</v>
      </c>
      <c r="B34" s="3" t="s">
        <v>57</v>
      </c>
      <c r="C34" s="3" t="s">
        <v>12</v>
      </c>
      <c r="D34" s="2" t="n">
        <v>1</v>
      </c>
      <c r="E34" s="4" t="s">
        <v>58</v>
      </c>
      <c r="F34" s="8"/>
      <c r="G34" s="6" t="n">
        <v>1.5</v>
      </c>
      <c r="H34" s="7" t="n">
        <f aca="false">D34*G34</f>
        <v>1.5</v>
      </c>
      <c r="I34" s="3" t="s">
        <v>49</v>
      </c>
      <c r="J34" s="4" t="s">
        <v>59</v>
      </c>
    </row>
    <row r="35" customFormat="false" ht="15" hidden="false" customHeight="false" outlineLevel="0" collapsed="false">
      <c r="A35" s="2" t="s">
        <v>10</v>
      </c>
      <c r="B35" s="3" t="s">
        <v>60</v>
      </c>
      <c r="C35" s="3" t="s">
        <v>12</v>
      </c>
      <c r="D35" s="2" t="n">
        <v>1</v>
      </c>
      <c r="E35" s="4" t="s">
        <v>61</v>
      </c>
      <c r="F35" s="5" t="str">
        <f aca="false">HYPERLINK("https://www.microhomebrew.com/","open listing")</f>
        <v>open listing</v>
      </c>
      <c r="G35" s="6" t="n">
        <v>5</v>
      </c>
      <c r="H35" s="7" t="n">
        <f aca="false">D35*G35</f>
        <v>5</v>
      </c>
      <c r="I35" s="3" t="s">
        <v>49</v>
      </c>
      <c r="J35" s="4" t="s">
        <v>62</v>
      </c>
    </row>
    <row r="36" customFormat="false" ht="26.85" hidden="false" customHeight="false" outlineLevel="0" collapsed="false">
      <c r="A36" s="2" t="s">
        <v>10</v>
      </c>
      <c r="B36" s="3" t="s">
        <v>60</v>
      </c>
      <c r="C36" s="3" t="s">
        <v>12</v>
      </c>
      <c r="D36" s="2" t="n">
        <v>1</v>
      </c>
      <c r="E36" s="4" t="s">
        <v>63</v>
      </c>
      <c r="F36" s="8"/>
      <c r="G36" s="6" t="n">
        <v>3</v>
      </c>
      <c r="H36" s="7" t="n">
        <f aca="false">D36*G36</f>
        <v>3</v>
      </c>
      <c r="I36" s="3" t="s">
        <v>49</v>
      </c>
      <c r="J36" s="4" t="s">
        <v>64</v>
      </c>
    </row>
    <row r="37" customFormat="false" ht="15" hidden="false" customHeight="false" outlineLevel="0" collapsed="false">
      <c r="A37" s="2" t="s">
        <v>10</v>
      </c>
      <c r="B37" s="3" t="s">
        <v>60</v>
      </c>
      <c r="C37" s="3" t="s">
        <v>12</v>
      </c>
      <c r="D37" s="2" t="n">
        <v>1</v>
      </c>
      <c r="E37" s="4" t="s">
        <v>65</v>
      </c>
      <c r="F37" s="5" t="str">
        <f aca="false">HYPERLINK("https://www.bargreen.com/locations/seattle","open listing")</f>
        <v>open listing</v>
      </c>
      <c r="G37" s="6" t="n">
        <v>4</v>
      </c>
      <c r="H37" s="7" t="n">
        <f aca="false">D37*G37</f>
        <v>4</v>
      </c>
      <c r="I37" s="3" t="s">
        <v>49</v>
      </c>
      <c r="J37" s="4" t="s">
        <v>66</v>
      </c>
    </row>
    <row r="38" customFormat="false" ht="15" hidden="false" customHeight="false" outlineLevel="0" collapsed="false">
      <c r="A38" s="2" t="s">
        <v>10</v>
      </c>
      <c r="B38" s="3" t="s">
        <v>11</v>
      </c>
      <c r="C38" s="3" t="s">
        <v>67</v>
      </c>
      <c r="D38" s="2" t="n">
        <v>2</v>
      </c>
      <c r="E38" s="4" t="s">
        <v>68</v>
      </c>
      <c r="F38" s="5" t="str">
        <f aca="false">HYPERLINK("https://www.amazon.com/dp/B0D4MBDL8B","open listing")</f>
        <v>open listing</v>
      </c>
      <c r="G38" s="6" t="n">
        <v>13.99</v>
      </c>
      <c r="H38" s="7" t="n">
        <f aca="false">D38*G38</f>
        <v>27.98</v>
      </c>
      <c r="I38" s="3" t="s">
        <v>10</v>
      </c>
      <c r="J38" s="4" t="s">
        <v>69</v>
      </c>
    </row>
    <row r="39" customFormat="false" ht="15" hidden="false" customHeight="false" outlineLevel="0" collapsed="false">
      <c r="A39" s="2" t="s">
        <v>10</v>
      </c>
      <c r="B39" s="3" t="s">
        <v>11</v>
      </c>
      <c r="C39" s="3" t="s">
        <v>67</v>
      </c>
      <c r="D39" s="2" t="n">
        <v>1</v>
      </c>
      <c r="E39" s="4" t="s">
        <v>70</v>
      </c>
      <c r="F39" s="5" t="str">
        <f aca="false">HYPERLINK("https://www.amazon.com/dp/B07PDV9RC8","open listing")</f>
        <v>open listing</v>
      </c>
      <c r="G39" s="6" t="n">
        <v>14.99</v>
      </c>
      <c r="H39" s="7" t="n">
        <f aca="false">D39*G39</f>
        <v>14.99</v>
      </c>
      <c r="I39" s="3" t="s">
        <v>10</v>
      </c>
      <c r="J39" s="4" t="s">
        <v>20</v>
      </c>
    </row>
    <row r="40" customFormat="false" ht="15" hidden="false" customHeight="false" outlineLevel="0" collapsed="false">
      <c r="A40" s="2" t="s">
        <v>10</v>
      </c>
      <c r="B40" s="3" t="s">
        <v>11</v>
      </c>
      <c r="C40" s="3" t="s">
        <v>67</v>
      </c>
      <c r="D40" s="2" t="n">
        <v>1</v>
      </c>
      <c r="E40" s="4" t="s">
        <v>71</v>
      </c>
      <c r="F40" s="5" t="str">
        <f aca="false">HYPERLINK("https://www.amazon.com/dp/B08R3515SF","open listing")</f>
        <v>open listing</v>
      </c>
      <c r="G40" s="6" t="n">
        <v>9.96</v>
      </c>
      <c r="H40" s="7" t="n">
        <f aca="false">D40*G40</f>
        <v>9.96</v>
      </c>
      <c r="I40" s="3" t="s">
        <v>10</v>
      </c>
      <c r="J40" s="4" t="s">
        <v>20</v>
      </c>
    </row>
    <row r="41" customFormat="false" ht="15" hidden="false" customHeight="false" outlineLevel="0" collapsed="false">
      <c r="A41" s="2" t="s">
        <v>10</v>
      </c>
      <c r="B41" s="3" t="s">
        <v>11</v>
      </c>
      <c r="C41" s="3" t="s">
        <v>67</v>
      </c>
      <c r="D41" s="2" t="n">
        <v>1</v>
      </c>
      <c r="E41" s="4" t="s">
        <v>72</v>
      </c>
      <c r="F41" s="5" t="str">
        <f aca="false">HYPERLINK("https://www.amazon.com/dp/B01ISAMUA6","open listing")</f>
        <v>open listing</v>
      </c>
      <c r="G41" s="6" t="n">
        <v>14.39</v>
      </c>
      <c r="H41" s="7" t="n">
        <f aca="false">D41*G41</f>
        <v>14.39</v>
      </c>
      <c r="I41" s="3" t="s">
        <v>10</v>
      </c>
      <c r="J41" s="4" t="s">
        <v>20</v>
      </c>
    </row>
    <row r="42" customFormat="false" ht="15" hidden="false" customHeight="false" outlineLevel="0" collapsed="false">
      <c r="A42" s="2" t="s">
        <v>10</v>
      </c>
      <c r="B42" s="3" t="s">
        <v>11</v>
      </c>
      <c r="C42" s="3" t="s">
        <v>67</v>
      </c>
      <c r="D42" s="2" t="n">
        <v>1</v>
      </c>
      <c r="E42" s="4" t="s">
        <v>73</v>
      </c>
      <c r="F42" s="5" t="str">
        <f aca="false">HYPERLINK("https://www.amazon.com/dp/B07DFFYCXS","open listing")</f>
        <v>open listing</v>
      </c>
      <c r="G42" s="6" t="n">
        <v>8.99</v>
      </c>
      <c r="H42" s="7" t="n">
        <f aca="false">D42*G42</f>
        <v>8.99</v>
      </c>
      <c r="I42" s="3" t="s">
        <v>10</v>
      </c>
      <c r="J42" s="4" t="s">
        <v>20</v>
      </c>
    </row>
    <row r="43" customFormat="false" ht="15" hidden="false" customHeight="false" outlineLevel="0" collapsed="false">
      <c r="A43" s="2" t="s">
        <v>10</v>
      </c>
      <c r="B43" s="3" t="s">
        <v>11</v>
      </c>
      <c r="C43" s="3" t="s">
        <v>67</v>
      </c>
      <c r="D43" s="2" t="n">
        <v>1</v>
      </c>
      <c r="E43" s="4" t="s">
        <v>74</v>
      </c>
      <c r="F43" s="5" t="str">
        <f aca="false">HYPERLINK("https://www.amazon.com/dp/B07B7L6WVY","open listing")</f>
        <v>open listing</v>
      </c>
      <c r="G43" s="6" t="n">
        <v>22.99</v>
      </c>
      <c r="H43" s="7" t="n">
        <f aca="false">D43*G43</f>
        <v>22.99</v>
      </c>
      <c r="I43" s="3" t="s">
        <v>10</v>
      </c>
      <c r="J43" s="4" t="s">
        <v>20</v>
      </c>
    </row>
    <row r="44" customFormat="false" ht="15" hidden="false" customHeight="false" outlineLevel="0" collapsed="false">
      <c r="A44" s="2" t="s">
        <v>10</v>
      </c>
      <c r="B44" s="3" t="s">
        <v>11</v>
      </c>
      <c r="C44" s="3" t="s">
        <v>67</v>
      </c>
      <c r="D44" s="2" t="n">
        <v>1</v>
      </c>
      <c r="E44" s="4" t="s">
        <v>75</v>
      </c>
      <c r="F44" s="5" t="str">
        <f aca="false">HYPERLINK("https://www.amazon.com/dp/B07VGK8GBL","open listing")</f>
        <v>open listing</v>
      </c>
      <c r="G44" s="6" t="n">
        <v>5.39</v>
      </c>
      <c r="H44" s="7" t="n">
        <f aca="false">D44*G44</f>
        <v>5.39</v>
      </c>
      <c r="I44" s="3" t="s">
        <v>10</v>
      </c>
      <c r="J44" s="4" t="s">
        <v>20</v>
      </c>
    </row>
    <row r="45" customFormat="false" ht="15" hidden="false" customHeight="false" outlineLevel="0" collapsed="false">
      <c r="A45" s="2" t="s">
        <v>10</v>
      </c>
      <c r="B45" s="3" t="s">
        <v>76</v>
      </c>
      <c r="C45" s="3" t="s">
        <v>67</v>
      </c>
      <c r="D45" s="2" t="n">
        <v>1</v>
      </c>
      <c r="E45" s="4" t="s">
        <v>77</v>
      </c>
      <c r="F45" s="8"/>
      <c r="G45" s="6" t="n">
        <v>5</v>
      </c>
      <c r="H45" s="7" t="n">
        <f aca="false">D45*G45</f>
        <v>5</v>
      </c>
      <c r="I45" s="3" t="s">
        <v>49</v>
      </c>
      <c r="J45" s="4" t="s">
        <v>78</v>
      </c>
    </row>
    <row r="47" customFormat="false" ht="15" hidden="false" customHeight="false" outlineLevel="0" collapsed="false">
      <c r="E47" s="9" t="s">
        <v>79</v>
      </c>
    </row>
    <row r="48" customFormat="false" ht="15" hidden="false" customHeight="false" outlineLevel="0" collapsed="false">
      <c r="E48" s="10" t="s">
        <v>80</v>
      </c>
      <c r="H48" s="11" t="n">
        <f aca="false">SUMIFS(H2:H45,B2:B45,"Amazon",C2:C45,"Required")</f>
        <v>118.02</v>
      </c>
    </row>
    <row r="49" customFormat="false" ht="15" hidden="false" customHeight="false" outlineLevel="0" collapsed="false">
      <c r="E49" s="10" t="s">
        <v>27</v>
      </c>
      <c r="H49" s="11" t="n">
        <f aca="false">SUMIFS(H2:H45,B2:B45,"Vetco")</f>
        <v>41.88</v>
      </c>
    </row>
    <row r="50" customFormat="false" ht="15" hidden="false" customHeight="false" outlineLevel="0" collapsed="false">
      <c r="E50" s="10" t="s">
        <v>81</v>
      </c>
      <c r="H50" s="11" t="n">
        <f aca="false">SUMIFS(H2:H45,B2:B45,"Tacoma Screw")</f>
        <v>12</v>
      </c>
    </row>
    <row r="51" customFormat="false" ht="15" hidden="false" customHeight="false" outlineLevel="0" collapsed="false">
      <c r="E51" s="10" t="s">
        <v>82</v>
      </c>
      <c r="H51" s="11" t="n">
        <f aca="false">SUMIFS(H2:H45,B2:B45,"Ace Hardware")+SUMIFS(H2:H45,B2:B45,"Local")</f>
        <v>13.5</v>
      </c>
    </row>
    <row r="52" customFormat="false" ht="15" hidden="false" customHeight="false" outlineLevel="0" collapsed="false">
      <c r="E52" s="9" t="s">
        <v>83</v>
      </c>
      <c r="H52" s="12" t="n">
        <f aca="false">SUMIFS(H2:H45,C2:C45,"Required")</f>
        <v>185.4</v>
      </c>
    </row>
    <row r="53" customFormat="false" ht="15" hidden="false" customHeight="false" outlineLevel="0" collapsed="false">
      <c r="E53" s="10" t="s">
        <v>84</v>
      </c>
      <c r="H53" s="11" t="n">
        <f aca="false">SUMIFS(H2:H45,C2:C45,"If needed")</f>
        <v>109.69</v>
      </c>
    </row>
    <row r="54" customFormat="false" ht="15" hidden="false" customHeight="false" outlineLevel="0" collapsed="false">
      <c r="E54" s="10" t="s">
        <v>85</v>
      </c>
      <c r="H54" s="11" t="n">
        <f aca="false">SUMIFS(H2:H45,C2:C45,"Required",A2:A45,"No")</f>
        <v>185.4</v>
      </c>
    </row>
    <row r="55" customFormat="false" ht="15" hidden="false" customHeight="false" outlineLevel="0" collapsed="false">
      <c r="E55" s="10" t="s">
        <v>86</v>
      </c>
      <c r="H55" s="11" t="n">
        <f aca="false">SUMIFS(H2:H45,A2:A45,"Yes")</f>
        <v>0</v>
      </c>
    </row>
    <row r="57" customFormat="false" ht="45" hidden="false" customHeight="true" outlineLevel="0" collapsed="false">
      <c r="E57" s="13" t="s">
        <v>87</v>
      </c>
    </row>
  </sheetData>
  <conditionalFormatting sqref="A2:J45">
    <cfRule type="expression" priority="2" aboveAverage="0" equalAverage="0" bottom="0" percent="0" rank="0" text="" dxfId="0">
      <formula>$A2="Yes"</formula>
    </cfRule>
  </conditionalFormatting>
  <dataValidations count="1">
    <dataValidation allowBlank="false" errorStyle="stop" operator="between" showDropDown="false" showErrorMessage="false" showInputMessage="false" sqref="A2:A4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4" t="s">
        <v>1</v>
      </c>
      <c r="B1" s="14" t="s">
        <v>88</v>
      </c>
      <c r="C1" s="14" t="s">
        <v>89</v>
      </c>
      <c r="D1" s="14" t="s">
        <v>90</v>
      </c>
    </row>
    <row r="2" customFormat="false" ht="15" hidden="false" customHeight="false" outlineLevel="0" collapsed="false">
      <c r="A2" s="15" t="s">
        <v>11</v>
      </c>
      <c r="B2" s="15" t="s">
        <v>91</v>
      </c>
      <c r="C2" s="15"/>
      <c r="D2" s="15" t="s">
        <v>92</v>
      </c>
    </row>
    <row r="3" customFormat="false" ht="15" hidden="false" customHeight="false" outlineLevel="0" collapsed="false">
      <c r="A3" s="15" t="s">
        <v>27</v>
      </c>
      <c r="B3" s="15" t="s">
        <v>93</v>
      </c>
      <c r="C3" s="15" t="s">
        <v>94</v>
      </c>
      <c r="D3" s="15" t="s">
        <v>95</v>
      </c>
    </row>
    <row r="4" customFormat="false" ht="26.85" hidden="false" customHeight="false" outlineLevel="0" collapsed="false">
      <c r="A4" s="15" t="s">
        <v>47</v>
      </c>
      <c r="B4" s="15" t="s">
        <v>96</v>
      </c>
      <c r="C4" s="15" t="s">
        <v>97</v>
      </c>
      <c r="D4" s="15" t="s">
        <v>98</v>
      </c>
    </row>
    <row r="5" customFormat="false" ht="15" hidden="false" customHeight="false" outlineLevel="0" collapsed="false">
      <c r="A5" s="15" t="s">
        <v>57</v>
      </c>
      <c r="B5" s="15" t="s">
        <v>99</v>
      </c>
      <c r="C5" s="15"/>
      <c r="D5" s="15" t="s">
        <v>100</v>
      </c>
    </row>
    <row r="6" customFormat="false" ht="26.85" hidden="false" customHeight="false" outlineLevel="0" collapsed="false">
      <c r="A6" s="15" t="s">
        <v>60</v>
      </c>
      <c r="B6" s="15" t="s">
        <v>101</v>
      </c>
      <c r="C6" s="15"/>
      <c r="D6" s="15" t="s">
        <v>102</v>
      </c>
    </row>
    <row r="8" customFormat="false" ht="15" hidden="false" customHeight="false" outlineLevel="0" collapsed="false">
      <c r="A8" s="9" t="s">
        <v>103</v>
      </c>
    </row>
    <row r="9" customFormat="false" ht="15" hidden="false" customHeight="false" outlineLevel="0" collapsed="false">
      <c r="A9" s="10" t="s">
        <v>104</v>
      </c>
      <c r="B9" s="10" t="s">
        <v>105</v>
      </c>
    </row>
    <row r="10" customFormat="false" ht="15" hidden="false" customHeight="false" outlineLevel="0" collapsed="false">
      <c r="A10" s="10" t="s">
        <v>104</v>
      </c>
      <c r="B10" s="10" t="s">
        <v>106</v>
      </c>
    </row>
    <row r="11" customFormat="false" ht="15" hidden="false" customHeight="false" outlineLevel="0" collapsed="false">
      <c r="A11" s="10" t="s">
        <v>104</v>
      </c>
      <c r="B11" s="10" t="s">
        <v>107</v>
      </c>
    </row>
    <row r="12" customFormat="false" ht="15" hidden="false" customHeight="false" outlineLevel="0" collapsed="false">
      <c r="A12" s="10" t="s">
        <v>104</v>
      </c>
      <c r="B12" s="10" t="s">
        <v>108</v>
      </c>
    </row>
    <row r="13" customFormat="false" ht="15" hidden="false" customHeight="false" outlineLevel="0" collapsed="false">
      <c r="A13" s="10" t="s">
        <v>104</v>
      </c>
      <c r="B13" s="10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2026-10-14T00:44:19Z</dcterms:created>
  <dc:creator>openpyxl</dc:creator>
  <dc:description/>
  <dc:language>en-US</dc:language>
  <cp:lastModifiedBy/>
  <dcterms:modified xsi:type="dcterms:W3CDTF">2026-10-14T00:44:19Z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